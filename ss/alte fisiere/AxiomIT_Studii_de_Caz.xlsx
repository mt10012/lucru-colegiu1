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pertă" sheetId="1" state="visible" r:id="rId2"/>
    <sheet name="Studii de Caz" sheetId="2" state="visible" r:id="rId3"/>
    <sheet name="Rezultate KPI" sheetId="3" state="visible" r:id="rId4"/>
    <sheet name="Rezultate KPI1" sheetId="4" state="visible" r:id="rId5"/>
    <sheet name="Tehnologii" sheetId="5" state="visible" r:id="rId6"/>
    <sheet name="Dashboard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<sst xmlns="http://schemas.openxmlformats.org/spreadsheetml/2006/main" count="341" uniqueCount="199">
  <si>
    <t xml:space="preserve">AXIOM IT</t>
  </si>
  <si>
    <t xml:space="preserve">Studii de Caz - Portofoliu Proiecte</t>
  </si>
  <si>
    <t xml:space="preserve">REZUMAT EXECUTIV</t>
  </si>
  <si>
    <t xml:space="preserve">Total Studii de Caz</t>
  </si>
  <si>
    <t xml:space="preserve">12</t>
  </si>
  <si>
    <t xml:space="preserve">Industrii Acoperite</t>
  </si>
  <si>
    <t xml:space="preserve">8</t>
  </si>
  <si>
    <t xml:space="preserve">Proiecte Finalizate</t>
  </si>
  <si>
    <t xml:space="preserve">156+</t>
  </si>
  <si>
    <t xml:space="preserve">Clienți Mulțumiți</t>
  </si>
  <si>
    <t xml:space="preserve">98%</t>
  </si>
  <si>
    <t xml:space="preserve">Valoare Totală Proiecte</t>
  </si>
  <si>
    <t xml:space="preserve">€ 4.2M</t>
  </si>
  <si>
    <t xml:space="preserve">CONȚINUT</t>
  </si>
  <si>
    <t xml:space="preserve">Studii de Caz</t>
  </si>
  <si>
    <t xml:space="preserve">Lista completă a studiilor de caz cu detalii</t>
  </si>
  <si>
    <t xml:space="preserve">Rezultate KPI</t>
  </si>
  <si>
    <t xml:space="preserve">Indicatori cheie de performanță și rezultate</t>
  </si>
  <si>
    <t xml:space="preserve">Tehnologii</t>
  </si>
  <si>
    <t xml:space="preserve">Stack-uri tehnologice utilizate în proiecte</t>
  </si>
  <si>
    <t xml:space="preserve">Dashboard</t>
  </si>
  <si>
    <t xml:space="preserve">Vizualizare grafică a portofoliului</t>
  </si>
  <si>
    <t xml:space="preserve">Document confidențial - Axiom IT © 2024</t>
  </si>
  <si>
    <t xml:space="preserve">PORTOFOLIU STUDII DE CAZ - AXIOM IT</t>
  </si>
  <si>
    <t xml:space="preserve">ID</t>
  </si>
  <si>
    <t xml:space="preserve">Client</t>
  </si>
  <si>
    <t xml:space="preserve">Industrie</t>
  </si>
  <si>
    <t xml:space="preserve">Proiect</t>
  </si>
  <si>
    <t xml:space="preserve">Provocare</t>
  </si>
  <si>
    <t xml:space="preserve">Soluție</t>
  </si>
  <si>
    <t xml:space="preserve">Durată (luni)</t>
  </si>
  <si>
    <t xml:space="preserve">Buget (€)</t>
  </si>
  <si>
    <t xml:space="preserve">ROI (%)</t>
  </si>
  <si>
    <t xml:space="preserve">Status</t>
  </si>
  <si>
    <t xml:space="preserve">SC001</t>
  </si>
  <si>
    <t xml:space="preserve">MediCare Plus</t>
  </si>
  <si>
    <t xml:space="preserve">Sănătate</t>
  </si>
  <si>
    <t xml:space="preserve">Platformă EHR</t>
  </si>
  <si>
    <t xml:space="preserve">Sisteme incompatibile</t>
  </si>
  <si>
    <t xml:space="preserve">Platformă cloud EHR integrată</t>
  </si>
  <si>
    <t xml:space="preserve">React, Node.js, PostgreSQL, AWS</t>
  </si>
  <si>
    <t xml:space="preserve">Finalizat</t>
  </si>
  <si>
    <t xml:space="preserve">SC002</t>
  </si>
  <si>
    <t xml:space="preserve">FinTrust Bank</t>
  </si>
  <si>
    <t xml:space="preserve">Financiar</t>
  </si>
  <si>
    <t xml:space="preserve">Mobile Banking App</t>
  </si>
  <si>
    <t xml:space="preserve">Securitate și UX</t>
  </si>
  <si>
    <t xml:space="preserve">Aplicație bancară securizată</t>
  </si>
  <si>
    <t xml:space="preserve">Flutter, Python, MongoDB, Azure</t>
  </si>
  <si>
    <t xml:space="preserve">SC003</t>
  </si>
  <si>
    <t xml:space="preserve">RetailMax</t>
  </si>
  <si>
    <t xml:space="preserve">Retail</t>
  </si>
  <si>
    <t xml:space="preserve">Sistem ERP</t>
  </si>
  <si>
    <t xml:space="preserve">Management inventar ineficient</t>
  </si>
  <si>
    <t xml:space="preserve">ERP cloud cu AI</t>
  </si>
  <si>
    <t xml:space="preserve">Angular, Java, MySQL, GCP</t>
  </si>
  <si>
    <t xml:space="preserve">SC004</t>
  </si>
  <si>
    <t xml:space="preserve">EduSmart</t>
  </si>
  <si>
    <t xml:space="preserve">Educație</t>
  </si>
  <si>
    <t xml:space="preserve">LMS Platform</t>
  </si>
  <si>
    <t xml:space="preserve">Învățare la distanță</t>
  </si>
  <si>
    <t xml:space="preserve">Platformă e-learning</t>
  </si>
  <si>
    <t xml:space="preserve">Vue.js, Django, Redis, AWS</t>
  </si>
  <si>
    <t xml:space="preserve">SC005</t>
  </si>
  <si>
    <t xml:space="preserve">LogiTrans</t>
  </si>
  <si>
    <t xml:space="preserve">Logistică</t>
  </si>
  <si>
    <t xml:space="preserve">Tracking System</t>
  </si>
  <si>
    <t xml:space="preserve">Vizibilitate livrări</t>
  </si>
  <si>
    <t xml:space="preserve">Sistem IoT tracking</t>
  </si>
  <si>
    <t xml:space="preserve">React Native, Go, InfluxDB, AWS IoT</t>
  </si>
  <si>
    <t xml:space="preserve">SC006</t>
  </si>
  <si>
    <t xml:space="preserve">SecureGov</t>
  </si>
  <si>
    <t xml:space="preserve">Public</t>
  </si>
  <si>
    <t xml:space="preserve">Cybersecurity Hub</t>
  </si>
  <si>
    <t xml:space="preserve">Amenințări cibernetice</t>
  </si>
  <si>
    <t xml:space="preserve">SOC și SIEM integrat</t>
  </si>
  <si>
    <t xml:space="preserve">Python, ELK Stack, Kubernetes</t>
  </si>
  <si>
    <t xml:space="preserve">În desfășurare</t>
  </si>
  <si>
    <t xml:space="preserve">SC007</t>
  </si>
  <si>
    <t xml:space="preserve">AgroTech</t>
  </si>
  <si>
    <t xml:space="preserve">Agricultură</t>
  </si>
  <si>
    <t xml:space="preserve">Smart Farming</t>
  </si>
  <si>
    <t xml:space="preserve">Monitorizare culturi</t>
  </si>
  <si>
    <t xml:space="preserve">Sistem IoT agricultură</t>
  </si>
  <si>
    <t xml:space="preserve">React, Node.js, TimescaleDB</t>
  </si>
  <si>
    <t xml:space="preserve">SC008</t>
  </si>
  <si>
    <t xml:space="preserve">EnergyPlus</t>
  </si>
  <si>
    <t xml:space="preserve">Energie</t>
  </si>
  <si>
    <t xml:space="preserve">Smart Grid</t>
  </si>
  <si>
    <t xml:space="preserve">Optimizare consum</t>
  </si>
  <si>
    <t xml:space="preserve">Platformă smart grid</t>
  </si>
  <si>
    <t xml:space="preserve">Angular, .NET, SQL Server, Azure</t>
  </si>
  <si>
    <t xml:space="preserve">SC009</t>
  </si>
  <si>
    <t xml:space="preserve">HotelLux</t>
  </si>
  <si>
    <t xml:space="preserve">Hospitality</t>
  </si>
  <si>
    <t xml:space="preserve">Booking Engine</t>
  </si>
  <si>
    <t xml:space="preserve">Rezervări manuale</t>
  </si>
  <si>
    <t xml:space="preserve">Sistem booking automatizat</t>
  </si>
  <si>
    <t xml:space="preserve">Next.js, Ruby on Rails, PostgreSQL</t>
  </si>
  <si>
    <t xml:space="preserve">SC010</t>
  </si>
  <si>
    <t xml:space="preserve">AutoMotive</t>
  </si>
  <si>
    <t xml:space="preserve">Automotive</t>
  </si>
  <si>
    <t xml:space="preserve">Predictive Maintenance</t>
  </si>
  <si>
    <t xml:space="preserve">Defecțiuni neașteptate</t>
  </si>
  <si>
    <t xml:space="preserve">Sistem predicție ML</t>
  </si>
  <si>
    <t xml:space="preserve">Python, TensorFlow, Kafka, GCP</t>
  </si>
  <si>
    <t xml:space="preserve">SC011</t>
  </si>
  <si>
    <t xml:space="preserve">MediaStream</t>
  </si>
  <si>
    <t xml:space="preserve">Media</t>
  </si>
  <si>
    <t xml:space="preserve">OTT Platform</t>
  </si>
  <si>
    <t xml:space="preserve">Streaming instabil</t>
  </si>
  <si>
    <t xml:space="preserve">Platformă video streaming</t>
  </si>
  <si>
    <t xml:space="preserve">React, Go, Cassandra, AWS</t>
  </si>
  <si>
    <t xml:space="preserve">SC012</t>
  </si>
  <si>
    <t xml:space="preserve">InsureTech</t>
  </si>
  <si>
    <t xml:space="preserve">Asigurări</t>
  </si>
  <si>
    <t xml:space="preserve">Claims Automation</t>
  </si>
  <si>
    <t xml:space="preserve">Procesare cereri lentă</t>
  </si>
  <si>
    <t xml:space="preserve">RPA și ML pentru claims</t>
  </si>
  <si>
    <t xml:space="preserve">Python, UiPath, SQL Server</t>
  </si>
  <si>
    <t xml:space="preserve">REZULTATE ȘI IMPACT - STUDII DE CAZ</t>
  </si>
  <si>
    <t xml:space="preserve">ID Studiu</t>
  </si>
  <si>
    <t xml:space="preserve">Eficiență (+%)</t>
  </si>
  <si>
    <t xml:space="preserve">Reducere Costuri (%)</t>
  </si>
  <si>
    <t xml:space="preserve">Satisfacție Client</t>
  </si>
  <si>
    <t xml:space="preserve">Timp Implementare</t>
  </si>
  <si>
    <t xml:space="preserve">Revenită Lunară (€)</t>
  </si>
  <si>
    <t xml:space="preserve">Referință</t>
  </si>
  <si>
    <t xml:space="preserve">9.2/10</t>
  </si>
  <si>
    <t xml:space="preserve">2 săptămâni mai devreme</t>
  </si>
  <si>
    <t xml:space="preserve">Disponibil</t>
  </si>
  <si>
    <t xml:space="preserve">9.5/10</t>
  </si>
  <si>
    <t xml:space="preserve">La timp</t>
  </si>
  <si>
    <t xml:space="preserve">9.0/10</t>
  </si>
  <si>
    <t xml:space="preserve">1 săptămână mai devreme</t>
  </si>
  <si>
    <t xml:space="preserve">8.8/10</t>
  </si>
  <si>
    <t xml:space="preserve">9.1/10</t>
  </si>
  <si>
    <t xml:space="preserve">9.3/10</t>
  </si>
  <si>
    <t xml:space="preserve">Confidențial</t>
  </si>
  <si>
    <t xml:space="preserve">8.9/10</t>
  </si>
  <si>
    <t xml:space="preserve">9.4/10</t>
  </si>
  <si>
    <t xml:space="preserve">8.7/10</t>
  </si>
  <si>
    <t xml:space="preserve">STACK-URI TEHNOLOGICE UTILIZATE</t>
  </si>
  <si>
    <t xml:space="preserve">Categorie</t>
  </si>
  <si>
    <t xml:space="preserve">Tehnologie</t>
  </si>
  <si>
    <t xml:space="preserve">Proiecte</t>
  </si>
  <si>
    <t xml:space="preserve">Experiență (ani)</t>
  </si>
  <si>
    <t xml:space="preserve">Nivel Expertiză</t>
  </si>
  <si>
    <t xml:space="preserve">Frontend</t>
  </si>
  <si>
    <t xml:space="preserve">React</t>
  </si>
  <si>
    <t xml:space="preserve">Expert</t>
  </si>
  <si>
    <t xml:space="preserve">Angular</t>
  </si>
  <si>
    <t xml:space="preserve">Vue.js</t>
  </si>
  <si>
    <t xml:space="preserve">Avansat</t>
  </si>
  <si>
    <t xml:space="preserve">Next.js</t>
  </si>
  <si>
    <t xml:space="preserve">Flutter</t>
  </si>
  <si>
    <t xml:space="preserve">Backend</t>
  </si>
  <si>
    <t xml:space="preserve">Node.js</t>
  </si>
  <si>
    <t xml:space="preserve">Python/Django</t>
  </si>
  <si>
    <t xml:space="preserve">Java</t>
  </si>
  <si>
    <t xml:space="preserve">Go</t>
  </si>
  <si>
    <t xml:space="preserve">.NET</t>
  </si>
  <si>
    <t xml:space="preserve">Ruby on Rails</t>
  </si>
  <si>
    <t xml:space="preserve">Baze de Date</t>
  </si>
  <si>
    <t xml:space="preserve">PostgreSQL</t>
  </si>
  <si>
    <t xml:space="preserve">MongoDB</t>
  </si>
  <si>
    <t xml:space="preserve">MySQL</t>
  </si>
  <si>
    <t xml:space="preserve">SQL Server</t>
  </si>
  <si>
    <t xml:space="preserve">Redis</t>
  </si>
  <si>
    <t xml:space="preserve">InfluxDB</t>
  </si>
  <si>
    <t xml:space="preserve">Intermediar</t>
  </si>
  <si>
    <t xml:space="preserve">Cloud</t>
  </si>
  <si>
    <t xml:space="preserve">AWS</t>
  </si>
  <si>
    <t xml:space="preserve">Azure</t>
  </si>
  <si>
    <t xml:space="preserve">Google Cloud</t>
  </si>
  <si>
    <t xml:space="preserve">DevOps</t>
  </si>
  <si>
    <t xml:space="preserve">Docker</t>
  </si>
  <si>
    <t xml:space="preserve">Kubernetes</t>
  </si>
  <si>
    <t xml:space="preserve">CI/CD</t>
  </si>
  <si>
    <t xml:space="preserve">AI/ML</t>
  </si>
  <si>
    <t xml:space="preserve">TensorFlow</t>
  </si>
  <si>
    <t xml:space="preserve">Python ML</t>
  </si>
  <si>
    <t xml:space="preserve">IoT</t>
  </si>
  <si>
    <t xml:space="preserve">AWS IoT</t>
  </si>
  <si>
    <t xml:space="preserve">Securitate</t>
  </si>
  <si>
    <t xml:space="preserve">ELK Stack</t>
  </si>
  <si>
    <t xml:space="preserve">DASHBOARD - ANALIZĂ PORTOFOLIU AXIOM IT</t>
  </si>
  <si>
    <t xml:space="preserve">Buget Total pe Industrie</t>
  </si>
  <si>
    <t xml:space="preserve">Distribuție Proiecte</t>
  </si>
  <si>
    <t xml:space="preserve">ROI pe Proiect (%)</t>
  </si>
  <si>
    <t xml:space="preserve">Buget Total (€)</t>
  </si>
  <si>
    <t xml:space="preserve">Număr</t>
  </si>
  <si>
    <t xml:space="preserve">MediCare</t>
  </si>
  <si>
    <t xml:space="preserve">FinTrust</t>
  </si>
  <si>
    <t xml:space="preserve">STATISTICI</t>
  </si>
  <si>
    <t xml:space="preserve">Buget Mediu Proiect</t>
  </si>
  <si>
    <t xml:space="preserve">ROI Mediu</t>
  </si>
  <si>
    <t xml:space="preserve">Durată Medie (luni)</t>
  </si>
  <si>
    <t xml:space="preserve">Total Proiecte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</si>
</sst>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0066CC"/>
      <name val="Cambria"/>
      <family val="0"/>
      <charset val="1"/>
    </font>
    <font>
      <sz val="12"/>
      <color rgb="FF666666"/>
      <name val="Cambria"/>
      <family val="0"/>
      <charset val="1"/>
    </font>
    <font>
      <b val="true"/>
      <sz val="14"/>
      <color rgb="FF333333"/>
      <name val="Cambria"/>
      <family val="0"/>
      <charset val="1"/>
    </font>
    <font>
      <sz val="11"/>
      <name val="Cambria"/>
      <family val="0"/>
      <charset val="1"/>
    </font>
    <font>
      <b val="true"/>
      <sz val="12"/>
      <color rgb="FF0066CC"/>
      <name val="Cambria"/>
      <family val="0"/>
      <charset val="1"/>
    </font>
    <font>
      <b val="true"/>
      <sz val="11"/>
      <color rgb="FF0066CC"/>
      <name val="Cambria"/>
      <family val="0"/>
      <charset val="1"/>
    </font>
    <font>
      <sz val="10"/>
      <color rgb="FF666666"/>
      <name val="Cambria"/>
      <family val="0"/>
      <charset val="1"/>
    </font>
    <font>
      <i val="true"/>
      <sz val="9"/>
      <color rgb="FF999999"/>
      <name val="Cambria"/>
      <family val="0"/>
      <charset val="1"/>
    </font>
    <font>
      <b val="true"/>
      <sz val="16"/>
      <color rgb="FF33333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228B22"/>
      <name val="Cambria"/>
      <family val="0"/>
      <charset val="1"/>
    </font>
    <font>
      <b val="true"/>
      <sz val="11"/>
      <color rgb="FFCC0000"/>
      <name val="Cambria"/>
      <family val="0"/>
      <charset val="1"/>
    </font>
    <font>
      <b val="true"/>
      <sz val="11"/>
      <color rgb="FFFF8C00"/>
      <name val="Cambria"/>
      <family val="0"/>
      <charset val="1"/>
    </font>
    <font>
      <b val="true"/>
      <sz val="18"/>
      <color rgb="FF333333"/>
      <name val="Cambria"/>
      <family val="0"/>
      <charset val="1"/>
    </font>
    <font>
      <b val="true"/>
      <sz val="12"/>
      <color rgb="FF333333"/>
      <name val="Cambria"/>
      <family val="0"/>
      <charset val="1"/>
    </font>
    <font>
      <sz val="1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228B22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8C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Distribuție Proiecte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Dashboard!F4</c:f>
              <c:strCache>
                <c:ptCount val="1"/>
                <c:pt idx="0">
                  <c:v>Număr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Dashboard!$E$5:$E$6</c:f>
              <c:strCache>
                <c:ptCount val="2"/>
                <c:pt idx="0">
                  <c:v>Finalizat</c:v>
                </c:pt>
                <c:pt idx="1">
                  <c:v>În desfășurare</c:v>
                </c:pt>
              </c:strCache>
            </c:strRef>
          </c:cat>
          <c:val>
            <c:numRef>
              <c:f>Dashboard!$F$5:$F$6</c:f>
              <c:numCache>
                <c:formatCode>General</c:formatCode>
                <c:ptCount val="2"/>
                <c:pt idx="0">
                  <c:v>10</c:v>
                </c:pt>
                <c:pt idx="1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ROI pe Proiecte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Dashboard!I4</c:f>
              <c:strCache>
                <c:ptCount val="1"/>
                <c:pt idx="0">
                  <c:v>ROI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Dashboard!$H$5:$H$16</c:f>
              <c:strCache>
                <c:ptCount val="12"/>
                <c:pt idx="0">
                  <c:v>MediCare</c:v>
                </c:pt>
                <c:pt idx="1">
                  <c:v>FinTrust</c:v>
                </c:pt>
                <c:pt idx="2">
                  <c:v>RetailMax</c:v>
                </c:pt>
                <c:pt idx="3">
                  <c:v>EduSmart</c:v>
                </c:pt>
                <c:pt idx="4">
                  <c:v>LogiTrans</c:v>
                </c:pt>
                <c:pt idx="5">
                  <c:v>SecureGov</c:v>
                </c:pt>
                <c:pt idx="6">
                  <c:v>AgroTech</c:v>
                </c:pt>
                <c:pt idx="7">
                  <c:v>EnergyPlus</c:v>
                </c:pt>
                <c:pt idx="8">
                  <c:v>HotelLux</c:v>
                </c:pt>
                <c:pt idx="9">
                  <c:v>AutoMotive</c:v>
                </c:pt>
                <c:pt idx="10">
                  <c:v>MediaStream</c:v>
                </c:pt>
                <c:pt idx="11">
                  <c:v>InsureTech</c:v>
                </c:pt>
              </c:strCache>
            </c:strRef>
          </c:cat>
          <c:val>
            <c:numRef>
              <c:f>Dashboard!$I$5:$I$16</c:f>
              <c:numCache>
                <c:formatCode>General</c:formatCode>
                <c:ptCount val="12"/>
                <c:pt idx="0">
                  <c:v>145</c:v>
                </c:pt>
                <c:pt idx="1">
                  <c:v>180</c:v>
                </c:pt>
                <c:pt idx="2">
                  <c:v>165</c:v>
                </c:pt>
                <c:pt idx="3">
                  <c:v>120</c:v>
                </c:pt>
                <c:pt idx="4">
                  <c:v>155</c:v>
                </c:pt>
                <c:pt idx="5">
                  <c:v>200</c:v>
                </c:pt>
                <c:pt idx="6">
                  <c:v>110</c:v>
                </c:pt>
                <c:pt idx="7">
                  <c:v>175</c:v>
                </c:pt>
                <c:pt idx="8">
                  <c:v>135</c:v>
                </c:pt>
                <c:pt idx="9">
                  <c:v>190</c:v>
                </c:pt>
                <c:pt idx="10">
                  <c:v>160</c:v>
                </c:pt>
                <c:pt idx="11">
                  <c:v>170</c:v>
                </c:pt>
              </c:numCache>
            </c:numRef>
          </c:val>
        </c:ser>
        <c:gapWidth val="150"/>
        <c:overlap val="0"/>
        <c:axId val="86202688"/>
        <c:axId val="32877277"/>
      </c:barChart>
      <c:catAx>
        <c:axId val="862026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Proiect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77277"/>
        <c:crosses val="autoZero"/>
        <c:auto val="1"/>
        <c:lblAlgn val="ctr"/>
        <c:lblOffset val="100"/>
        <c:noMultiLvlLbl val="0"/>
      </c:catAx>
      <c:valAx>
        <c:axId val="328772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ROI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026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Buget pe Industrie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Dashboard!C4</c:f>
              <c:strCache>
                <c:ptCount val="1"/>
                <c:pt idx="0">
                  <c:v>Buget Total (€)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Dashboard!$B$5:$B$16</c:f>
              <c:strCache>
                <c:ptCount val="12"/>
                <c:pt idx="0">
                  <c:v>Sănătate</c:v>
                </c:pt>
                <c:pt idx="1">
                  <c:v>Financiar</c:v>
                </c:pt>
                <c:pt idx="2">
                  <c:v>Retail</c:v>
                </c:pt>
                <c:pt idx="3">
                  <c:v>Educație</c:v>
                </c:pt>
                <c:pt idx="4">
                  <c:v>Logistică</c:v>
                </c:pt>
                <c:pt idx="5">
                  <c:v>Public</c:v>
                </c:pt>
                <c:pt idx="6">
                  <c:v>Agricultură</c:v>
                </c:pt>
                <c:pt idx="7">
                  <c:v>Energie</c:v>
                </c:pt>
                <c:pt idx="8">
                  <c:v>Hospitality</c:v>
                </c:pt>
                <c:pt idx="9">
                  <c:v>Automotive</c:v>
                </c:pt>
                <c:pt idx="10">
                  <c:v>Media</c:v>
                </c:pt>
                <c:pt idx="11">
                  <c:v>Asigurări</c:v>
                </c:pt>
              </c:strCache>
            </c:strRef>
          </c:cat>
          <c:val>
            <c:numRef>
              <c:f>Dashboard!$C$5:$C$16</c:f>
              <c:numCache>
                <c:formatCode>General</c:formatCode>
                <c:ptCount val="12"/>
                <c:pt idx="0">
                  <c:v>180000</c:v>
                </c:pt>
                <c:pt idx="1">
                  <c:v>220000</c:v>
                </c:pt>
                <c:pt idx="2">
                  <c:v>350000</c:v>
                </c:pt>
                <c:pt idx="3">
                  <c:v>95000</c:v>
                </c:pt>
                <c:pt idx="4">
                  <c:v>165000</c:v>
                </c:pt>
                <c:pt idx="5">
                  <c:v>480000</c:v>
                </c:pt>
                <c:pt idx="6">
                  <c:v>78000</c:v>
                </c:pt>
                <c:pt idx="7">
                  <c:v>290000</c:v>
                </c:pt>
                <c:pt idx="8">
                  <c:v>125000</c:v>
                </c:pt>
                <c:pt idx="9">
                  <c:v>420000</c:v>
                </c:pt>
                <c:pt idx="10">
                  <c:v>310000</c:v>
                </c:pt>
                <c:pt idx="11">
                  <c:v>195000</c:v>
                </c:pt>
              </c:numCache>
            </c:numRef>
          </c:val>
        </c:ser>
        <c:gapWidth val="150"/>
        <c:overlap val="0"/>
        <c:axId val="78829945"/>
        <c:axId val="28251760"/>
      </c:barChart>
      <c:catAx>
        <c:axId val="7882994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Buget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51760"/>
        <c:crosses val="autoZero"/>
        <c:auto val="1"/>
        <c:lblAlgn val="ctr"/>
        <c:lblOffset val="100"/>
        <c:noMultiLvlLbl val="0"/>
      </c:catAx>
      <c:valAx>
        <c:axId val="282517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299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5</xdr:col>
      <xdr:colOff>606960</xdr:colOff>
      <xdr:row>36</xdr:row>
      <xdr:rowOff>170640</xdr:rowOff>
    </xdr:to>
    <xdr:graphicFrame>
      <xdr:nvGraphicFramePr>
        <xdr:cNvPr id="0" name="Chart 1"/>
        <xdr:cNvGraphicFramePr/>
      </xdr:nvGraphicFramePr>
      <xdr:xfrm>
        <a:off x="611640" y="367668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364680</xdr:colOff>
      <xdr:row>20</xdr:row>
      <xdr:rowOff>170640</xdr:rowOff>
    </xdr:to>
    <xdr:graphicFrame>
      <xdr:nvGraphicFramePr>
        <xdr:cNvPr id="1" name="Chart 2"/>
        <xdr:cNvGraphicFramePr/>
      </xdr:nvGraphicFramePr>
      <xdr:xfrm>
        <a:off x="8366760" y="6285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6</xdr:col>
      <xdr:colOff>480960</xdr:colOff>
      <xdr:row>53</xdr:row>
      <xdr:rowOff>128520</xdr:rowOff>
    </xdr:to>
    <xdr:graphicFrame>
      <xdr:nvGraphicFramePr>
        <xdr:cNvPr id="2" name="Chart 3"/>
        <xdr:cNvGraphicFramePr/>
      </xdr:nvGraphicFramePr>
      <xdr:xfrm>
        <a:off x="611640" y="615312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5"/>
  </cols>
  <sheetData>
    <row r="2" customFormat="false" ht="4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3" hidden="false" customHeight="true" outlineLevel="0" collapsed="false">
      <c r="B5" s="3"/>
      <c r="C5" s="3"/>
      <c r="D5" s="3"/>
      <c r="E5" s="3"/>
      <c r="F5" s="3"/>
      <c r="G5" s="3"/>
      <c r="H5" s="3"/>
    </row>
    <row r="7" customFormat="false" ht="15" hidden="false" customHeight="false" outlineLevel="0" collapsed="false">
      <c r="B7" s="4" t="s">
        <v>2</v>
      </c>
    </row>
    <row r="9" customFormat="false" ht="15" hidden="false" customHeight="false" outlineLevel="0" collapsed="false">
      <c r="B9" s="5" t="s">
        <v>3</v>
      </c>
      <c r="D9" s="6" t="s">
        <v>4</v>
      </c>
    </row>
    <row r="10" customFormat="false" ht="15" hidden="false" customHeight="false" outlineLevel="0" collapsed="false">
      <c r="B10" s="5" t="s">
        <v>5</v>
      </c>
      <c r="D10" s="6" t="s">
        <v>6</v>
      </c>
    </row>
    <row r="11" customFormat="false" ht="15" hidden="false" customHeight="false" outlineLevel="0" collapsed="false">
      <c r="B11" s="5" t="s">
        <v>7</v>
      </c>
      <c r="D11" s="6" t="s">
        <v>8</v>
      </c>
    </row>
    <row r="12" customFormat="false" ht="15" hidden="false" customHeight="false" outlineLevel="0" collapsed="false">
      <c r="B12" s="5" t="s">
        <v>9</v>
      </c>
      <c r="D12" s="6" t="s">
        <v>10</v>
      </c>
    </row>
    <row r="13" customFormat="false" ht="15" hidden="false" customHeight="false" outlineLevel="0" collapsed="false">
      <c r="B13" s="5" t="s">
        <v>11</v>
      </c>
      <c r="D13" s="6" t="s">
        <v>12</v>
      </c>
    </row>
    <row r="16" customFormat="false" ht="15" hidden="false" customHeight="false" outlineLevel="0" collapsed="false">
      <c r="B16" s="4" t="s">
        <v>13</v>
      </c>
    </row>
    <row r="18" customFormat="false" ht="15" hidden="false" customHeight="false" outlineLevel="0" collapsed="false">
      <c r="B18" s="7" t="s">
        <v>14</v>
      </c>
      <c r="D18" s="8" t="s">
        <v>15</v>
      </c>
    </row>
    <row r="19" customFormat="false" ht="15" hidden="false" customHeight="false" outlineLevel="0" collapsed="false">
      <c r="B19" s="7" t="s">
        <v>16</v>
      </c>
      <c r="D19" s="8" t="s">
        <v>17</v>
      </c>
    </row>
    <row r="20" customFormat="false" ht="15" hidden="false" customHeight="false" outlineLevel="0" collapsed="false">
      <c r="B20" s="7" t="s">
        <v>18</v>
      </c>
      <c r="D20" s="8" t="s">
        <v>19</v>
      </c>
    </row>
    <row r="21" customFormat="false" ht="15" hidden="false" customHeight="false" outlineLevel="0" collapsed="false">
      <c r="B21" s="7" t="s">
        <v>20</v>
      </c>
      <c r="D21" s="8" t="s">
        <v>21</v>
      </c>
    </row>
    <row r="24" customFormat="false" ht="15" hidden="false" customHeight="false" outlineLevel="0" collapsed="false">
      <c r="B24" s="9" t="s">
        <v>22</v>
      </c>
    </row>
  </sheetData>
  <mergeCells count="3">
    <mergeCell ref="B2:H2"/>
    <mergeCell ref="B3:H3"/>
    <mergeCell ref="B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8" min="7" style="0" width="3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4"/>
  </cols>
  <sheetData>
    <row r="1" customFormat="false" ht="30" hidden="false" customHeight="true" outlineLevel="0" collapsed="false">
      <c r="B1" s="10" t="s">
        <v>23</v>
      </c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34.5" hidden="false" customHeight="true" outlineLevel="0" collapsed="false">
      <c r="B2" s="11" t="s">
        <v>24</v>
      </c>
      <c r="C2" s="11" t="s">
        <v>25</v>
      </c>
      <c r="D2" s="11" t="s">
        <v>26</v>
      </c>
      <c r="E2" s="11" t="s">
        <v>27</v>
      </c>
      <c r="F2" s="11" t="s">
        <v>28</v>
      </c>
      <c r="G2" s="11" t="s">
        <v>29</v>
      </c>
      <c r="H2" s="11" t="s">
        <v>18</v>
      </c>
      <c r="I2" s="11" t="s">
        <v>30</v>
      </c>
      <c r="J2" s="11" t="s">
        <v>31</v>
      </c>
      <c r="K2" s="11" t="s">
        <v>32</v>
      </c>
      <c r="L2" s="11" t="s">
        <v>33</v>
      </c>
    </row>
    <row r="3" customFormat="false" ht="49.5" hidden="false" customHeight="true" outlineLevel="0" collapsed="false">
      <c r="B3" s="12" t="s">
        <v>34</v>
      </c>
      <c r="C3" s="12" t="s">
        <v>35</v>
      </c>
      <c r="D3" s="12" t="s">
        <v>36</v>
      </c>
      <c r="E3" s="12" t="s">
        <v>37</v>
      </c>
      <c r="F3" s="12" t="s">
        <v>38</v>
      </c>
      <c r="G3" s="12" t="s">
        <v>39</v>
      </c>
      <c r="H3" s="12" t="s">
        <v>40</v>
      </c>
      <c r="I3" s="12" t="n">
        <v>8</v>
      </c>
      <c r="J3" s="12" t="n">
        <v>180000</v>
      </c>
      <c r="K3" s="12" t="n">
        <v>145</v>
      </c>
      <c r="L3" s="13" t="s">
        <v>41</v>
      </c>
    </row>
    <row r="4" customFormat="false" ht="49.5" hidden="false" customHeight="true" outlineLevel="0" collapsed="false">
      <c r="B4" s="14" t="s">
        <v>42</v>
      </c>
      <c r="C4" s="14" t="s">
        <v>43</v>
      </c>
      <c r="D4" s="14" t="s">
        <v>44</v>
      </c>
      <c r="E4" s="14" t="s">
        <v>45</v>
      </c>
      <c r="F4" s="14" t="s">
        <v>46</v>
      </c>
      <c r="G4" s="14" t="s">
        <v>47</v>
      </c>
      <c r="H4" s="14" t="s">
        <v>48</v>
      </c>
      <c r="I4" s="14" t="n">
        <v>6</v>
      </c>
      <c r="J4" s="14" t="n">
        <v>220000</v>
      </c>
      <c r="K4" s="14" t="n">
        <v>180</v>
      </c>
      <c r="L4" s="15" t="s">
        <v>41</v>
      </c>
    </row>
    <row r="5" customFormat="false" ht="49.5" hidden="false" customHeight="true" outlineLevel="0" collapsed="false">
      <c r="B5" s="12" t="s">
        <v>49</v>
      </c>
      <c r="C5" s="12" t="s">
        <v>50</v>
      </c>
      <c r="D5" s="12" t="s">
        <v>51</v>
      </c>
      <c r="E5" s="12" t="s">
        <v>52</v>
      </c>
      <c r="F5" s="12" t="s">
        <v>53</v>
      </c>
      <c r="G5" s="12" t="s">
        <v>54</v>
      </c>
      <c r="H5" s="12" t="s">
        <v>55</v>
      </c>
      <c r="I5" s="12" t="n">
        <v>10</v>
      </c>
      <c r="J5" s="12" t="n">
        <v>350000</v>
      </c>
      <c r="K5" s="12" t="n">
        <v>165</v>
      </c>
      <c r="L5" s="13" t="s">
        <v>41</v>
      </c>
    </row>
    <row r="6" customFormat="false" ht="49.5" hidden="false" customHeight="true" outlineLevel="0" collapsed="false">
      <c r="B6" s="14" t="s">
        <v>56</v>
      </c>
      <c r="C6" s="14" t="s">
        <v>57</v>
      </c>
      <c r="D6" s="14" t="s">
        <v>58</v>
      </c>
      <c r="E6" s="14" t="s">
        <v>59</v>
      </c>
      <c r="F6" s="14" t="s">
        <v>60</v>
      </c>
      <c r="G6" s="14" t="s">
        <v>61</v>
      </c>
      <c r="H6" s="14" t="s">
        <v>62</v>
      </c>
      <c r="I6" s="14" t="n">
        <v>5</v>
      </c>
      <c r="J6" s="14" t="n">
        <v>95000</v>
      </c>
      <c r="K6" s="14" t="n">
        <v>120</v>
      </c>
      <c r="L6" s="15" t="s">
        <v>41</v>
      </c>
    </row>
    <row r="7" customFormat="false" ht="49.5" hidden="false" customHeight="true" outlineLevel="0" collapsed="false">
      <c r="B7" s="12" t="s">
        <v>63</v>
      </c>
      <c r="C7" s="12" t="s">
        <v>64</v>
      </c>
      <c r="D7" s="12" t="s">
        <v>65</v>
      </c>
      <c r="E7" s="12" t="s">
        <v>66</v>
      </c>
      <c r="F7" s="12" t="s">
        <v>67</v>
      </c>
      <c r="G7" s="12" t="s">
        <v>68</v>
      </c>
      <c r="H7" s="12" t="s">
        <v>69</v>
      </c>
      <c r="I7" s="12" t="n">
        <v>7</v>
      </c>
      <c r="J7" s="12" t="n">
        <v>165000</v>
      </c>
      <c r="K7" s="12" t="n">
        <v>155</v>
      </c>
      <c r="L7" s="13" t="s">
        <v>41</v>
      </c>
    </row>
    <row r="8" customFormat="false" ht="49.5" hidden="false" customHeight="true" outlineLevel="0" collapsed="false">
      <c r="B8" s="14" t="s">
        <v>70</v>
      </c>
      <c r="C8" s="14" t="s">
        <v>71</v>
      </c>
      <c r="D8" s="14" t="s">
        <v>72</v>
      </c>
      <c r="E8" s="14" t="s">
        <v>73</v>
      </c>
      <c r="F8" s="14" t="s">
        <v>74</v>
      </c>
      <c r="G8" s="14" t="s">
        <v>75</v>
      </c>
      <c r="H8" s="14" t="s">
        <v>76</v>
      </c>
      <c r="I8" s="14" t="n">
        <v>12</v>
      </c>
      <c r="J8" s="14" t="n">
        <v>480000</v>
      </c>
      <c r="K8" s="14" t="n">
        <v>200</v>
      </c>
      <c r="L8" s="16" t="s">
        <v>77</v>
      </c>
    </row>
    <row r="9" customFormat="false" ht="49.5" hidden="false" customHeight="true" outlineLevel="0" collapsed="false">
      <c r="B9" s="12" t="s">
        <v>78</v>
      </c>
      <c r="C9" s="12" t="s">
        <v>79</v>
      </c>
      <c r="D9" s="12" t="s">
        <v>80</v>
      </c>
      <c r="E9" s="12" t="s">
        <v>81</v>
      </c>
      <c r="F9" s="12" t="s">
        <v>82</v>
      </c>
      <c r="G9" s="12" t="s">
        <v>83</v>
      </c>
      <c r="H9" s="12" t="s">
        <v>84</v>
      </c>
      <c r="I9" s="12" t="n">
        <v>4</v>
      </c>
      <c r="J9" s="12" t="n">
        <v>78000</v>
      </c>
      <c r="K9" s="12" t="n">
        <v>110</v>
      </c>
      <c r="L9" s="13" t="s">
        <v>41</v>
      </c>
    </row>
    <row r="10" customFormat="false" ht="49.5" hidden="false" customHeight="true" outlineLevel="0" collapsed="false">
      <c r="B10" s="14" t="s">
        <v>85</v>
      </c>
      <c r="C10" s="14" t="s">
        <v>86</v>
      </c>
      <c r="D10" s="14" t="s">
        <v>87</v>
      </c>
      <c r="E10" s="14" t="s">
        <v>88</v>
      </c>
      <c r="F10" s="14" t="s">
        <v>89</v>
      </c>
      <c r="G10" s="14" t="s">
        <v>90</v>
      </c>
      <c r="H10" s="14" t="s">
        <v>91</v>
      </c>
      <c r="I10" s="14" t="n">
        <v>9</v>
      </c>
      <c r="J10" s="14" t="n">
        <v>290000</v>
      </c>
      <c r="K10" s="14" t="n">
        <v>175</v>
      </c>
      <c r="L10" s="15" t="s">
        <v>41</v>
      </c>
    </row>
    <row r="11" customFormat="false" ht="49.5" hidden="false" customHeight="true" outlineLevel="0" collapsed="false">
      <c r="B11" s="12" t="s">
        <v>92</v>
      </c>
      <c r="C11" s="12" t="s">
        <v>93</v>
      </c>
      <c r="D11" s="12" t="s">
        <v>94</v>
      </c>
      <c r="E11" s="12" t="s">
        <v>95</v>
      </c>
      <c r="F11" s="12" t="s">
        <v>96</v>
      </c>
      <c r="G11" s="12" t="s">
        <v>97</v>
      </c>
      <c r="H11" s="12" t="s">
        <v>98</v>
      </c>
      <c r="I11" s="12" t="n">
        <v>5</v>
      </c>
      <c r="J11" s="12" t="n">
        <v>125000</v>
      </c>
      <c r="K11" s="12" t="n">
        <v>135</v>
      </c>
      <c r="L11" s="13" t="s">
        <v>41</v>
      </c>
    </row>
    <row r="12" customFormat="false" ht="49.5" hidden="false" customHeight="true" outlineLevel="0" collapsed="false">
      <c r="B12" s="14" t="s">
        <v>99</v>
      </c>
      <c r="C12" s="14" t="s">
        <v>100</v>
      </c>
      <c r="D12" s="14" t="s">
        <v>101</v>
      </c>
      <c r="E12" s="14" t="s">
        <v>102</v>
      </c>
      <c r="F12" s="14" t="s">
        <v>103</v>
      </c>
      <c r="G12" s="14" t="s">
        <v>104</v>
      </c>
      <c r="H12" s="14" t="s">
        <v>105</v>
      </c>
      <c r="I12" s="14" t="n">
        <v>11</v>
      </c>
      <c r="J12" s="14" t="n">
        <v>420000</v>
      </c>
      <c r="K12" s="14" t="n">
        <v>190</v>
      </c>
      <c r="L12" s="16" t="s">
        <v>77</v>
      </c>
    </row>
    <row r="13" customFormat="false" ht="49.5" hidden="false" customHeight="true" outlineLevel="0" collapsed="false">
      <c r="B13" s="12" t="s">
        <v>106</v>
      </c>
      <c r="C13" s="12" t="s">
        <v>107</v>
      </c>
      <c r="D13" s="12" t="s">
        <v>108</v>
      </c>
      <c r="E13" s="12" t="s">
        <v>109</v>
      </c>
      <c r="F13" s="12" t="s">
        <v>110</v>
      </c>
      <c r="G13" s="12" t="s">
        <v>111</v>
      </c>
      <c r="H13" s="12" t="s">
        <v>112</v>
      </c>
      <c r="I13" s="12" t="n">
        <v>8</v>
      </c>
      <c r="J13" s="12" t="n">
        <v>310000</v>
      </c>
      <c r="K13" s="12" t="n">
        <v>160</v>
      </c>
      <c r="L13" s="13" t="s">
        <v>41</v>
      </c>
    </row>
    <row r="14" customFormat="false" ht="49.5" hidden="false" customHeight="true" outlineLevel="0" collapsed="false">
      <c r="B14" s="14" t="s">
        <v>113</v>
      </c>
      <c r="C14" s="14" t="s">
        <v>114</v>
      </c>
      <c r="D14" s="14" t="s">
        <v>115</v>
      </c>
      <c r="E14" s="14" t="s">
        <v>116</v>
      </c>
      <c r="F14" s="14" t="s">
        <v>117</v>
      </c>
      <c r="G14" s="14" t="s">
        <v>118</v>
      </c>
      <c r="H14" s="14" t="s">
        <v>119</v>
      </c>
      <c r="I14" s="14" t="n">
        <v>6</v>
      </c>
      <c r="J14" s="14" t="n">
        <v>195000</v>
      </c>
      <c r="K14" s="14" t="n">
        <v>170</v>
      </c>
      <c r="L14" s="15" t="s">
        <v>41</v>
      </c>
    </row>
  </sheetData>
  <mergeCells count="1">
    <mergeCell ref="B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B1" s="10" t="s">
        <v>120</v>
      </c>
      <c r="C1" s="10"/>
      <c r="D1" s="10"/>
      <c r="E1" s="10"/>
      <c r="F1" s="10"/>
      <c r="G1" s="10"/>
      <c r="H1" s="10"/>
    </row>
    <row r="3" customFormat="false" ht="34.5" hidden="false" customHeight="true" outlineLevel="0" collapsed="false">
      <c r="B3" s="11" t="s">
        <v>121</v>
      </c>
      <c r="C3" s="11" t="s">
        <v>25</v>
      </c>
      <c r="D3" s="11" t="s">
        <v>122</v>
      </c>
      <c r="E3" s="11" t="s">
        <v>123</v>
      </c>
      <c r="F3" s="11" t="s">
        <v>124</v>
      </c>
      <c r="G3" s="11" t="s">
        <v>125</v>
      </c>
      <c r="H3" s="11" t="s">
        <v>126</v>
      </c>
      <c r="I3" s="11" t="s">
        <v>127</v>
      </c>
    </row>
    <row r="4" customFormat="false" ht="15" hidden="false" customHeight="false" outlineLevel="0" collapsed="false">
      <c r="B4" s="17" t="s">
        <v>34</v>
      </c>
      <c r="C4" s="17" t="s">
        <v>35</v>
      </c>
      <c r="D4" s="17" t="n">
        <v>45</v>
      </c>
      <c r="E4" s="17" t="n">
        <v>30</v>
      </c>
      <c r="F4" s="17" t="s">
        <v>128</v>
      </c>
      <c r="G4" s="17" t="s">
        <v>129</v>
      </c>
    </row>
  </sheetData>
  <mergeCells count="1">
    <mergeCell ref="B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8" min="7" style="0" width="20"/>
    <col collapsed="false" customWidth="true" hidden="false" outlineLevel="0" max="9" min="9" style="0" width="14"/>
  </cols>
  <sheetData>
    <row r="1" customFormat="false" ht="30" hidden="false" customHeight="true" outlineLevel="0" collapsed="false">
      <c r="B1" s="10" t="s">
        <v>120</v>
      </c>
      <c r="C1" s="10"/>
      <c r="D1" s="10"/>
      <c r="E1" s="10"/>
      <c r="F1" s="10"/>
      <c r="G1" s="10"/>
      <c r="H1" s="10"/>
    </row>
    <row r="3" customFormat="false" ht="34.5" hidden="false" customHeight="true" outlineLevel="0" collapsed="false">
      <c r="B3" s="11" t="s">
        <v>121</v>
      </c>
      <c r="C3" s="11" t="s">
        <v>25</v>
      </c>
      <c r="D3" s="11" t="s">
        <v>122</v>
      </c>
      <c r="E3" s="11" t="s">
        <v>123</v>
      </c>
      <c r="F3" s="11" t="s">
        <v>124</v>
      </c>
      <c r="G3" s="11" t="s">
        <v>125</v>
      </c>
      <c r="H3" s="11" t="s">
        <v>126</v>
      </c>
      <c r="I3" s="11" t="s">
        <v>127</v>
      </c>
    </row>
    <row r="4" customFormat="false" ht="15" hidden="false" customHeight="false" outlineLevel="0" collapsed="false">
      <c r="B4" s="17" t="s">
        <v>34</v>
      </c>
      <c r="C4" s="17" t="s">
        <v>35</v>
      </c>
      <c r="D4" s="18" t="n">
        <v>45</v>
      </c>
      <c r="E4" s="18" t="n">
        <v>30</v>
      </c>
      <c r="F4" s="19" t="s">
        <v>128</v>
      </c>
      <c r="G4" s="17" t="s">
        <v>129</v>
      </c>
      <c r="H4" s="17" t="n">
        <v>25000</v>
      </c>
      <c r="I4" s="19" t="s">
        <v>130</v>
      </c>
    </row>
    <row r="5" customFormat="false" ht="15" hidden="false" customHeight="false" outlineLevel="0" collapsed="false">
      <c r="B5" s="20" t="s">
        <v>42</v>
      </c>
      <c r="C5" s="20" t="s">
        <v>43</v>
      </c>
      <c r="D5" s="21" t="n">
        <v>60</v>
      </c>
      <c r="E5" s="21" t="n">
        <v>25</v>
      </c>
      <c r="F5" s="22" t="s">
        <v>131</v>
      </c>
      <c r="G5" s="20" t="s">
        <v>132</v>
      </c>
      <c r="H5" s="20" t="n">
        <v>35000</v>
      </c>
      <c r="I5" s="22" t="s">
        <v>130</v>
      </c>
    </row>
    <row r="6" customFormat="false" ht="15" hidden="false" customHeight="false" outlineLevel="0" collapsed="false">
      <c r="B6" s="17" t="s">
        <v>49</v>
      </c>
      <c r="C6" s="17" t="s">
        <v>50</v>
      </c>
      <c r="D6" s="18" t="n">
        <v>55</v>
      </c>
      <c r="E6" s="18" t="n">
        <v>40</v>
      </c>
      <c r="F6" s="19" t="s">
        <v>133</v>
      </c>
      <c r="G6" s="17" t="s">
        <v>134</v>
      </c>
      <c r="H6" s="17" t="n">
        <v>42000</v>
      </c>
      <c r="I6" s="19" t="s">
        <v>130</v>
      </c>
    </row>
    <row r="7" customFormat="false" ht="15" hidden="false" customHeight="false" outlineLevel="0" collapsed="false">
      <c r="B7" s="20" t="s">
        <v>56</v>
      </c>
      <c r="C7" s="20" t="s">
        <v>57</v>
      </c>
      <c r="D7" s="21" t="n">
        <v>35</v>
      </c>
      <c r="E7" s="21" t="n">
        <v>20</v>
      </c>
      <c r="F7" s="23" t="s">
        <v>135</v>
      </c>
      <c r="G7" s="20" t="s">
        <v>132</v>
      </c>
      <c r="H7" s="20" t="n">
        <v>12000</v>
      </c>
      <c r="I7" s="22" t="s">
        <v>130</v>
      </c>
    </row>
    <row r="8" customFormat="false" ht="15" hidden="false" customHeight="false" outlineLevel="0" collapsed="false">
      <c r="B8" s="17" t="s">
        <v>63</v>
      </c>
      <c r="C8" s="17" t="s">
        <v>64</v>
      </c>
      <c r="D8" s="18" t="n">
        <v>50</v>
      </c>
      <c r="E8" s="18" t="n">
        <v>35</v>
      </c>
      <c r="F8" s="19" t="s">
        <v>136</v>
      </c>
      <c r="G8" s="17" t="s">
        <v>132</v>
      </c>
      <c r="H8" s="17" t="n">
        <v>18000</v>
      </c>
      <c r="I8" s="19" t="s">
        <v>130</v>
      </c>
    </row>
    <row r="9" customFormat="false" ht="15" hidden="false" customHeight="false" outlineLevel="0" collapsed="false">
      <c r="B9" s="20" t="s">
        <v>70</v>
      </c>
      <c r="C9" s="20" t="s">
        <v>71</v>
      </c>
      <c r="D9" s="21" t="n">
        <v>70</v>
      </c>
      <c r="E9" s="21" t="n">
        <v>45</v>
      </c>
      <c r="F9" s="22" t="s">
        <v>137</v>
      </c>
      <c r="G9" s="20" t="s">
        <v>77</v>
      </c>
      <c r="H9" s="20" t="n">
        <v>0</v>
      </c>
      <c r="I9" s="24" t="s">
        <v>138</v>
      </c>
    </row>
    <row r="10" customFormat="false" ht="15" hidden="false" customHeight="false" outlineLevel="0" collapsed="false">
      <c r="B10" s="17" t="s">
        <v>78</v>
      </c>
      <c r="C10" s="17" t="s">
        <v>79</v>
      </c>
      <c r="D10" s="18" t="n">
        <v>40</v>
      </c>
      <c r="E10" s="18" t="n">
        <v>28</v>
      </c>
      <c r="F10" s="25" t="s">
        <v>139</v>
      </c>
      <c r="G10" s="17" t="s">
        <v>132</v>
      </c>
      <c r="H10" s="17" t="n">
        <v>8500</v>
      </c>
      <c r="I10" s="19" t="s">
        <v>130</v>
      </c>
    </row>
    <row r="11" customFormat="false" ht="15" hidden="false" customHeight="false" outlineLevel="0" collapsed="false">
      <c r="B11" s="20" t="s">
        <v>85</v>
      </c>
      <c r="C11" s="20" t="s">
        <v>86</v>
      </c>
      <c r="D11" s="21" t="n">
        <v>58</v>
      </c>
      <c r="E11" s="21" t="n">
        <v>38</v>
      </c>
      <c r="F11" s="22" t="s">
        <v>140</v>
      </c>
      <c r="G11" s="20" t="s">
        <v>129</v>
      </c>
      <c r="H11" s="20" t="n">
        <v>32000</v>
      </c>
      <c r="I11" s="22" t="s">
        <v>130</v>
      </c>
    </row>
    <row r="12" customFormat="false" ht="15" hidden="false" customHeight="false" outlineLevel="0" collapsed="false">
      <c r="B12" s="17" t="s">
        <v>92</v>
      </c>
      <c r="C12" s="17" t="s">
        <v>93</v>
      </c>
      <c r="D12" s="18" t="n">
        <v>42</v>
      </c>
      <c r="E12" s="18" t="n">
        <v>22</v>
      </c>
      <c r="F12" s="25" t="s">
        <v>141</v>
      </c>
      <c r="G12" s="17" t="s">
        <v>132</v>
      </c>
      <c r="H12" s="17" t="n">
        <v>14500</v>
      </c>
      <c r="I12" s="19" t="s">
        <v>130</v>
      </c>
    </row>
    <row r="13" customFormat="false" ht="15" hidden="false" customHeight="false" outlineLevel="0" collapsed="false">
      <c r="B13" s="20" t="s">
        <v>99</v>
      </c>
      <c r="C13" s="20" t="s">
        <v>100</v>
      </c>
      <c r="D13" s="21" t="n">
        <v>65</v>
      </c>
      <c r="E13" s="21" t="n">
        <v>42</v>
      </c>
      <c r="F13" s="22" t="s">
        <v>133</v>
      </c>
      <c r="G13" s="20" t="s">
        <v>77</v>
      </c>
      <c r="H13" s="20" t="n">
        <v>0</v>
      </c>
      <c r="I13" s="24" t="s">
        <v>138</v>
      </c>
    </row>
    <row r="14" customFormat="false" ht="15" hidden="false" customHeight="false" outlineLevel="0" collapsed="false">
      <c r="B14" s="17" t="s">
        <v>106</v>
      </c>
      <c r="C14" s="17" t="s">
        <v>107</v>
      </c>
      <c r="D14" s="18" t="n">
        <v>52</v>
      </c>
      <c r="E14" s="18" t="n">
        <v>33</v>
      </c>
      <c r="F14" s="19" t="s">
        <v>128</v>
      </c>
      <c r="G14" s="17" t="s">
        <v>132</v>
      </c>
      <c r="H14" s="17" t="n">
        <v>28000</v>
      </c>
      <c r="I14" s="19" t="s">
        <v>130</v>
      </c>
    </row>
    <row r="15" customFormat="false" ht="15" hidden="false" customHeight="false" outlineLevel="0" collapsed="false">
      <c r="B15" s="20" t="s">
        <v>113</v>
      </c>
      <c r="C15" s="20" t="s">
        <v>114</v>
      </c>
      <c r="D15" s="21" t="n">
        <v>48</v>
      </c>
      <c r="E15" s="21" t="n">
        <v>36</v>
      </c>
      <c r="F15" s="23" t="s">
        <v>139</v>
      </c>
      <c r="G15" s="20" t="s">
        <v>132</v>
      </c>
      <c r="H15" s="20" t="n">
        <v>22000</v>
      </c>
      <c r="I15" s="22" t="s">
        <v>130</v>
      </c>
    </row>
  </sheetData>
  <mergeCells count="1">
    <mergeCell ref="B1:H1"/>
  </mergeCells>
  <conditionalFormatting sqref="D4:D15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{574790B0-B3A7-4D00-8850-8A8E98FD566C}</x14:id>
        </ext>
      </extLst>
    </cfRule>
  </conditionalFormatting>
  <conditionalFormatting sqref="E4:E15">
    <cfRule type="dataBar" priority="3">
      <dataBar showValue="1" minLength="10" maxLength="90">
        <cfvo type="min" val="0"/>
        <cfvo type="max" val="0"/>
        <color rgb="FF63BE7B"/>
      </dataBar>
      <extLst>
        <ext xmlns:x14="http://schemas.microsoft.com/office/spreadsheetml/2009/9/main" uri="{B025F937-C7B1-47D3-B67F-A62EFF666E3E}">
          <x14:id>{142C2DE3-8F41-4643-BE6E-7F6DBB72C427}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4790B0-B3A7-4D00-8850-8A8E98FD566C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D4:D15</xm:sqref>
        </x14:conditionalFormatting>
        <x14:conditionalFormatting xmlns:xm="http://schemas.microsoft.com/office/excel/2006/main">
          <x14:cfRule type="dataBar" id="{142C2DE3-8F41-4643-BE6E-7F6DBB72C427}">
            <x14:dataBar minLength="10" maxLength="90" axisPosition="none" gradient="true">
              <x14:cfvo type="min"/>
              <x14:cfvo type="max"/>
              <x14:negativeFillColor rgb="FF63BE7B"/>
              <x14:axisColor rgb="FF000000"/>
            </x14:dataBar>
          </x14:cfRule>
          <xm:sqref>E4:E15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30" hidden="false" customHeight="true" outlineLevel="0" collapsed="false">
      <c r="B1" s="10" t="s">
        <v>142</v>
      </c>
      <c r="C1" s="10"/>
      <c r="D1" s="10"/>
      <c r="E1" s="10"/>
      <c r="F1" s="10"/>
    </row>
    <row r="3" customFormat="false" ht="30" hidden="false" customHeight="true" outlineLevel="0" collapsed="false">
      <c r="B3" s="26" t="s">
        <v>143</v>
      </c>
      <c r="C3" s="26" t="s">
        <v>144</v>
      </c>
      <c r="D3" s="26" t="s">
        <v>145</v>
      </c>
      <c r="E3" s="26" t="s">
        <v>146</v>
      </c>
      <c r="F3" s="26" t="s">
        <v>147</v>
      </c>
    </row>
    <row r="4" customFormat="false" ht="15" hidden="false" customHeight="false" outlineLevel="0" collapsed="false">
      <c r="B4" s="17" t="s">
        <v>148</v>
      </c>
      <c r="C4" s="17" t="s">
        <v>149</v>
      </c>
      <c r="D4" s="18" t="n">
        <v>8</v>
      </c>
      <c r="E4" s="17" t="n">
        <v>6</v>
      </c>
      <c r="F4" s="19" t="s">
        <v>150</v>
      </c>
    </row>
    <row r="5" customFormat="false" ht="15" hidden="false" customHeight="false" outlineLevel="0" collapsed="false">
      <c r="B5" s="20" t="s">
        <v>148</v>
      </c>
      <c r="C5" s="20" t="s">
        <v>151</v>
      </c>
      <c r="D5" s="21" t="n">
        <v>5</v>
      </c>
      <c r="E5" s="20" t="n">
        <v>5</v>
      </c>
      <c r="F5" s="22" t="s">
        <v>150</v>
      </c>
    </row>
    <row r="6" customFormat="false" ht="15" hidden="false" customHeight="false" outlineLevel="0" collapsed="false">
      <c r="B6" s="17" t="s">
        <v>148</v>
      </c>
      <c r="C6" s="17" t="s">
        <v>152</v>
      </c>
      <c r="D6" s="18" t="n">
        <v>4</v>
      </c>
      <c r="E6" s="17" t="n">
        <v>4</v>
      </c>
      <c r="F6" s="25" t="s">
        <v>153</v>
      </c>
    </row>
    <row r="7" customFormat="false" ht="15" hidden="false" customHeight="false" outlineLevel="0" collapsed="false">
      <c r="B7" s="20" t="s">
        <v>148</v>
      </c>
      <c r="C7" s="20" t="s">
        <v>154</v>
      </c>
      <c r="D7" s="21" t="n">
        <v>3</v>
      </c>
      <c r="E7" s="20" t="n">
        <v>3</v>
      </c>
      <c r="F7" s="23" t="s">
        <v>153</v>
      </c>
    </row>
    <row r="8" customFormat="false" ht="15" hidden="false" customHeight="false" outlineLevel="0" collapsed="false">
      <c r="B8" s="17" t="s">
        <v>148</v>
      </c>
      <c r="C8" s="17" t="s">
        <v>155</v>
      </c>
      <c r="D8" s="18" t="n">
        <v>2</v>
      </c>
      <c r="E8" s="17" t="n">
        <v>3</v>
      </c>
      <c r="F8" s="25" t="s">
        <v>153</v>
      </c>
    </row>
    <row r="9" customFormat="false" ht="15" hidden="false" customHeight="false" outlineLevel="0" collapsed="false">
      <c r="B9" s="20" t="s">
        <v>156</v>
      </c>
      <c r="C9" s="20" t="s">
        <v>157</v>
      </c>
      <c r="D9" s="21" t="n">
        <v>7</v>
      </c>
      <c r="E9" s="20" t="n">
        <v>6</v>
      </c>
      <c r="F9" s="22" t="s">
        <v>150</v>
      </c>
    </row>
    <row r="10" customFormat="false" ht="15" hidden="false" customHeight="false" outlineLevel="0" collapsed="false">
      <c r="B10" s="17" t="s">
        <v>156</v>
      </c>
      <c r="C10" s="17" t="s">
        <v>158</v>
      </c>
      <c r="D10" s="18" t="n">
        <v>6</v>
      </c>
      <c r="E10" s="17" t="n">
        <v>7</v>
      </c>
      <c r="F10" s="19" t="s">
        <v>150</v>
      </c>
    </row>
    <row r="11" customFormat="false" ht="15" hidden="false" customHeight="false" outlineLevel="0" collapsed="false">
      <c r="B11" s="20" t="s">
        <v>156</v>
      </c>
      <c r="C11" s="20" t="s">
        <v>159</v>
      </c>
      <c r="D11" s="21" t="n">
        <v>4</v>
      </c>
      <c r="E11" s="20" t="n">
        <v>8</v>
      </c>
      <c r="F11" s="22" t="s">
        <v>150</v>
      </c>
    </row>
    <row r="12" customFormat="false" ht="15" hidden="false" customHeight="false" outlineLevel="0" collapsed="false">
      <c r="B12" s="17" t="s">
        <v>156</v>
      </c>
      <c r="C12" s="17" t="s">
        <v>160</v>
      </c>
      <c r="D12" s="18" t="n">
        <v>3</v>
      </c>
      <c r="E12" s="17" t="n">
        <v>4</v>
      </c>
      <c r="F12" s="25" t="s">
        <v>153</v>
      </c>
    </row>
    <row r="13" customFormat="false" ht="15" hidden="false" customHeight="false" outlineLevel="0" collapsed="false">
      <c r="B13" s="20" t="s">
        <v>156</v>
      </c>
      <c r="C13" s="20" t="s">
        <v>161</v>
      </c>
      <c r="D13" s="21" t="n">
        <v>2</v>
      </c>
      <c r="E13" s="20" t="n">
        <v>5</v>
      </c>
      <c r="F13" s="23" t="s">
        <v>153</v>
      </c>
    </row>
    <row r="14" customFormat="false" ht="15" hidden="false" customHeight="false" outlineLevel="0" collapsed="false">
      <c r="B14" s="17" t="s">
        <v>156</v>
      </c>
      <c r="C14" s="17" t="s">
        <v>162</v>
      </c>
      <c r="D14" s="18" t="n">
        <v>1</v>
      </c>
      <c r="E14" s="17" t="n">
        <v>4</v>
      </c>
      <c r="F14" s="25" t="s">
        <v>153</v>
      </c>
    </row>
    <row r="15" customFormat="false" ht="15" hidden="false" customHeight="false" outlineLevel="0" collapsed="false">
      <c r="B15" s="20" t="s">
        <v>163</v>
      </c>
      <c r="C15" s="20" t="s">
        <v>164</v>
      </c>
      <c r="D15" s="21" t="n">
        <v>6</v>
      </c>
      <c r="E15" s="20" t="n">
        <v>7</v>
      </c>
      <c r="F15" s="22" t="s">
        <v>150</v>
      </c>
    </row>
    <row r="16" customFormat="false" ht="15" hidden="false" customHeight="false" outlineLevel="0" collapsed="false">
      <c r="B16" s="17" t="s">
        <v>163</v>
      </c>
      <c r="C16" s="17" t="s">
        <v>165</v>
      </c>
      <c r="D16" s="18" t="n">
        <v>4</v>
      </c>
      <c r="E16" s="17" t="n">
        <v>5</v>
      </c>
      <c r="F16" s="19" t="s">
        <v>150</v>
      </c>
    </row>
    <row r="17" customFormat="false" ht="15" hidden="false" customHeight="false" outlineLevel="0" collapsed="false">
      <c r="B17" s="20" t="s">
        <v>163</v>
      </c>
      <c r="C17" s="20" t="s">
        <v>166</v>
      </c>
      <c r="D17" s="21" t="n">
        <v>5</v>
      </c>
      <c r="E17" s="20" t="n">
        <v>8</v>
      </c>
      <c r="F17" s="22" t="s">
        <v>150</v>
      </c>
    </row>
    <row r="18" customFormat="false" ht="15" hidden="false" customHeight="false" outlineLevel="0" collapsed="false">
      <c r="B18" s="17" t="s">
        <v>163</v>
      </c>
      <c r="C18" s="17" t="s">
        <v>167</v>
      </c>
      <c r="D18" s="18" t="n">
        <v>3</v>
      </c>
      <c r="E18" s="17" t="n">
        <v>6</v>
      </c>
      <c r="F18" s="25" t="s">
        <v>153</v>
      </c>
    </row>
    <row r="19" customFormat="false" ht="15" hidden="false" customHeight="false" outlineLevel="0" collapsed="false">
      <c r="B19" s="20" t="s">
        <v>163</v>
      </c>
      <c r="C19" s="20" t="s">
        <v>168</v>
      </c>
      <c r="D19" s="21" t="n">
        <v>4</v>
      </c>
      <c r="E19" s="20" t="n">
        <v>5</v>
      </c>
      <c r="F19" s="23" t="s">
        <v>153</v>
      </c>
    </row>
    <row r="20" customFormat="false" ht="15" hidden="false" customHeight="false" outlineLevel="0" collapsed="false">
      <c r="B20" s="17" t="s">
        <v>163</v>
      </c>
      <c r="C20" s="17" t="s">
        <v>169</v>
      </c>
      <c r="D20" s="18" t="n">
        <v>2</v>
      </c>
      <c r="E20" s="17" t="n">
        <v>3</v>
      </c>
      <c r="F20" s="27" t="s">
        <v>170</v>
      </c>
    </row>
    <row r="21" customFormat="false" ht="15" hidden="false" customHeight="false" outlineLevel="0" collapsed="false">
      <c r="B21" s="20" t="s">
        <v>171</v>
      </c>
      <c r="C21" s="20" t="s">
        <v>172</v>
      </c>
      <c r="D21" s="21" t="n">
        <v>9</v>
      </c>
      <c r="E21" s="20" t="n">
        <v>7</v>
      </c>
      <c r="F21" s="22" t="s">
        <v>150</v>
      </c>
    </row>
    <row r="22" customFormat="false" ht="15" hidden="false" customHeight="false" outlineLevel="0" collapsed="false">
      <c r="B22" s="17" t="s">
        <v>171</v>
      </c>
      <c r="C22" s="17" t="s">
        <v>173</v>
      </c>
      <c r="D22" s="18" t="n">
        <v>5</v>
      </c>
      <c r="E22" s="17" t="n">
        <v>5</v>
      </c>
      <c r="F22" s="19" t="s">
        <v>150</v>
      </c>
    </row>
    <row r="23" customFormat="false" ht="15" hidden="false" customHeight="false" outlineLevel="0" collapsed="false">
      <c r="B23" s="20" t="s">
        <v>171</v>
      </c>
      <c r="C23" s="20" t="s">
        <v>174</v>
      </c>
      <c r="D23" s="21" t="n">
        <v>4</v>
      </c>
      <c r="E23" s="20" t="n">
        <v>4</v>
      </c>
      <c r="F23" s="23" t="s">
        <v>153</v>
      </c>
    </row>
    <row r="24" customFormat="false" ht="15" hidden="false" customHeight="false" outlineLevel="0" collapsed="false">
      <c r="B24" s="17" t="s">
        <v>175</v>
      </c>
      <c r="C24" s="17" t="s">
        <v>176</v>
      </c>
      <c r="D24" s="18" t="n">
        <v>10</v>
      </c>
      <c r="E24" s="17" t="n">
        <v>6</v>
      </c>
      <c r="F24" s="19" t="s">
        <v>150</v>
      </c>
    </row>
    <row r="25" customFormat="false" ht="15" hidden="false" customHeight="false" outlineLevel="0" collapsed="false">
      <c r="B25" s="20" t="s">
        <v>175</v>
      </c>
      <c r="C25" s="20" t="s">
        <v>177</v>
      </c>
      <c r="D25" s="21" t="n">
        <v>6</v>
      </c>
      <c r="E25" s="20" t="n">
        <v>5</v>
      </c>
      <c r="F25" s="22" t="s">
        <v>150</v>
      </c>
    </row>
    <row r="26" customFormat="false" ht="15" hidden="false" customHeight="false" outlineLevel="0" collapsed="false">
      <c r="B26" s="17" t="s">
        <v>175</v>
      </c>
      <c r="C26" s="17" t="s">
        <v>178</v>
      </c>
      <c r="D26" s="18" t="n">
        <v>8</v>
      </c>
      <c r="E26" s="17" t="n">
        <v>6</v>
      </c>
      <c r="F26" s="19" t="s">
        <v>150</v>
      </c>
    </row>
    <row r="27" customFormat="false" ht="15" hidden="false" customHeight="false" outlineLevel="0" collapsed="false">
      <c r="B27" s="20" t="s">
        <v>179</v>
      </c>
      <c r="C27" s="20" t="s">
        <v>180</v>
      </c>
      <c r="D27" s="21" t="n">
        <v>3</v>
      </c>
      <c r="E27" s="20" t="n">
        <v>4</v>
      </c>
      <c r="F27" s="23" t="s">
        <v>153</v>
      </c>
    </row>
    <row r="28" customFormat="false" ht="15" hidden="false" customHeight="false" outlineLevel="0" collapsed="false">
      <c r="B28" s="17" t="s">
        <v>179</v>
      </c>
      <c r="C28" s="17" t="s">
        <v>181</v>
      </c>
      <c r="D28" s="18" t="n">
        <v>4</v>
      </c>
      <c r="E28" s="17" t="n">
        <v>5</v>
      </c>
      <c r="F28" s="19" t="s">
        <v>150</v>
      </c>
    </row>
    <row r="29" customFormat="false" ht="15" hidden="false" customHeight="false" outlineLevel="0" collapsed="false">
      <c r="B29" s="20" t="s">
        <v>182</v>
      </c>
      <c r="C29" s="20" t="s">
        <v>183</v>
      </c>
      <c r="D29" s="21" t="n">
        <v>2</v>
      </c>
      <c r="E29" s="20" t="n">
        <v>3</v>
      </c>
      <c r="F29" s="23" t="s">
        <v>153</v>
      </c>
    </row>
    <row r="30" customFormat="false" ht="15" hidden="false" customHeight="false" outlineLevel="0" collapsed="false">
      <c r="B30" s="17" t="s">
        <v>184</v>
      </c>
      <c r="C30" s="17" t="s">
        <v>185</v>
      </c>
      <c r="D30" s="18" t="n">
        <v>2</v>
      </c>
      <c r="E30" s="17" t="n">
        <v>4</v>
      </c>
      <c r="F30" s="25" t="s">
        <v>153</v>
      </c>
    </row>
  </sheetData>
  <mergeCells count="1">
    <mergeCell ref="B1:F1"/>
  </mergeCells>
  <conditionalFormatting sqref="D4:D30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{A93036C4-275D-495A-A1BF-8A53AE767FA8}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3036C4-275D-495A-A1BF-8A53AE767FA8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D4:D30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34.5" hidden="false" customHeight="true" outlineLevel="0" collapsed="false">
      <c r="B1" s="28" t="s">
        <v>186</v>
      </c>
      <c r="C1" s="28"/>
      <c r="D1" s="28"/>
      <c r="E1" s="28"/>
      <c r="F1" s="28"/>
      <c r="G1" s="28"/>
      <c r="H1" s="28"/>
      <c r="I1" s="28"/>
      <c r="J1" s="28"/>
      <c r="K1" s="28"/>
      <c r="L1" s="28"/>
    </row>
    <row r="3" customFormat="false" ht="15" hidden="false" customHeight="false" outlineLevel="0" collapsed="false">
      <c r="B3" s="29" t="s">
        <v>187</v>
      </c>
      <c r="E3" s="29" t="s">
        <v>188</v>
      </c>
      <c r="H3" s="29" t="s">
        <v>189</v>
      </c>
    </row>
    <row r="4" customFormat="false" ht="15" hidden="false" customHeight="false" outlineLevel="0" collapsed="false">
      <c r="B4" s="26" t="s">
        <v>26</v>
      </c>
      <c r="C4" s="26" t="s">
        <v>190</v>
      </c>
      <c r="E4" s="26" t="s">
        <v>33</v>
      </c>
      <c r="F4" s="26" t="s">
        <v>191</v>
      </c>
      <c r="H4" s="26" t="s">
        <v>27</v>
      </c>
      <c r="I4" s="26" t="s">
        <v>32</v>
      </c>
    </row>
    <row r="5" customFormat="false" ht="15" hidden="false" customHeight="false" outlineLevel="0" collapsed="false">
      <c r="B5" s="20" t="s">
        <v>36</v>
      </c>
      <c r="C5" s="20" t="n">
        <v>180000</v>
      </c>
      <c r="E5" s="20" t="s">
        <v>41</v>
      </c>
      <c r="F5" s="20" t="n">
        <v>10</v>
      </c>
      <c r="H5" s="20" t="s">
        <v>192</v>
      </c>
      <c r="I5" s="20" t="n">
        <v>145</v>
      </c>
    </row>
    <row r="6" customFormat="false" ht="15" hidden="false" customHeight="false" outlineLevel="0" collapsed="false">
      <c r="B6" s="20" t="s">
        <v>44</v>
      </c>
      <c r="C6" s="20" t="n">
        <v>220000</v>
      </c>
      <c r="E6" s="20" t="s">
        <v>77</v>
      </c>
      <c r="F6" s="20" t="n">
        <v>2</v>
      </c>
      <c r="H6" s="20" t="s">
        <v>193</v>
      </c>
      <c r="I6" s="20" t="n">
        <v>180</v>
      </c>
    </row>
    <row r="7" customFormat="false" ht="15" hidden="false" customHeight="false" outlineLevel="0" collapsed="false">
      <c r="B7" s="20" t="s">
        <v>51</v>
      </c>
      <c r="C7" s="20" t="n">
        <v>350000</v>
      </c>
      <c r="H7" s="20" t="s">
        <v>50</v>
      </c>
      <c r="I7" s="20" t="n">
        <v>165</v>
      </c>
    </row>
    <row r="8" customFormat="false" ht="15" hidden="false" customHeight="false" outlineLevel="0" collapsed="false">
      <c r="B8" s="20" t="s">
        <v>58</v>
      </c>
      <c r="C8" s="20" t="n">
        <v>95000</v>
      </c>
      <c r="H8" s="20" t="s">
        <v>57</v>
      </c>
      <c r="I8" s="20" t="n">
        <v>120</v>
      </c>
    </row>
    <row r="9" customFormat="false" ht="15" hidden="false" customHeight="false" outlineLevel="0" collapsed="false">
      <c r="B9" s="20" t="s">
        <v>65</v>
      </c>
      <c r="C9" s="20" t="n">
        <v>165000</v>
      </c>
      <c r="H9" s="20" t="s">
        <v>64</v>
      </c>
      <c r="I9" s="20" t="n">
        <v>155</v>
      </c>
    </row>
    <row r="10" customFormat="false" ht="15" hidden="false" customHeight="false" outlineLevel="0" collapsed="false">
      <c r="B10" s="20" t="s">
        <v>72</v>
      </c>
      <c r="C10" s="20" t="n">
        <v>480000</v>
      </c>
      <c r="H10" s="20" t="s">
        <v>71</v>
      </c>
      <c r="I10" s="20" t="n">
        <v>200</v>
      </c>
    </row>
    <row r="11" customFormat="false" ht="15" hidden="false" customHeight="false" outlineLevel="0" collapsed="false">
      <c r="B11" s="20" t="s">
        <v>80</v>
      </c>
      <c r="C11" s="20" t="n">
        <v>78000</v>
      </c>
      <c r="H11" s="20" t="s">
        <v>79</v>
      </c>
      <c r="I11" s="20" t="n">
        <v>110</v>
      </c>
    </row>
    <row r="12" customFormat="false" ht="15" hidden="false" customHeight="false" outlineLevel="0" collapsed="false">
      <c r="B12" s="20" t="s">
        <v>87</v>
      </c>
      <c r="C12" s="20" t="n">
        <v>290000</v>
      </c>
      <c r="H12" s="20" t="s">
        <v>86</v>
      </c>
      <c r="I12" s="20" t="n">
        <v>175</v>
      </c>
    </row>
    <row r="13" customFormat="false" ht="15" hidden="false" customHeight="false" outlineLevel="0" collapsed="false">
      <c r="B13" s="20" t="s">
        <v>94</v>
      </c>
      <c r="C13" s="20" t="n">
        <v>125000</v>
      </c>
      <c r="H13" s="20" t="s">
        <v>93</v>
      </c>
      <c r="I13" s="20" t="n">
        <v>135</v>
      </c>
    </row>
    <row r="14" customFormat="false" ht="15" hidden="false" customHeight="false" outlineLevel="0" collapsed="false">
      <c r="B14" s="20" t="s">
        <v>101</v>
      </c>
      <c r="C14" s="20" t="n">
        <v>420000</v>
      </c>
      <c r="H14" s="20" t="s">
        <v>100</v>
      </c>
      <c r="I14" s="20" t="n">
        <v>190</v>
      </c>
    </row>
    <row r="15" customFormat="false" ht="15" hidden="false" customHeight="false" outlineLevel="0" collapsed="false">
      <c r="B15" s="20" t="s">
        <v>108</v>
      </c>
      <c r="C15" s="20" t="n">
        <v>310000</v>
      </c>
      <c r="H15" s="20" t="s">
        <v>107</v>
      </c>
      <c r="I15" s="20" t="n">
        <v>160</v>
      </c>
    </row>
    <row r="16" customFormat="false" ht="15" hidden="false" customHeight="false" outlineLevel="0" collapsed="false">
      <c r="B16" s="20" t="s">
        <v>115</v>
      </c>
      <c r="C16" s="20" t="n">
        <v>195000</v>
      </c>
      <c r="H16" s="20" t="s">
        <v>114</v>
      </c>
      <c r="I16" s="20" t="n">
        <v>170</v>
      </c>
    </row>
    <row r="19" customFormat="false" ht="15" hidden="false" customHeight="false" outlineLevel="0" collapsed="false">
      <c r="K19" s="29" t="s">
        <v>194</v>
      </c>
    </row>
    <row r="21" customFormat="false" ht="15" hidden="false" customHeight="false" outlineLevel="0" collapsed="false">
      <c r="K21" s="30" t="s">
        <v>195</v>
      </c>
      <c r="M21" s="31" t="n">
        <f aca="false">AVERAGE(C5:C16)</f>
        <v>242333.333333333</v>
      </c>
    </row>
    <row r="22" customFormat="false" ht="15" hidden="false" customHeight="false" outlineLevel="0" collapsed="false">
      <c r="K22" s="30" t="s">
        <v>196</v>
      </c>
      <c r="M22" s="31" t="n">
        <f aca="false">AVERAGE(I5:I16)</f>
        <v>158.75</v>
      </c>
    </row>
    <row r="23" customFormat="false" ht="15" hidden="false" customHeight="false" outlineLevel="0" collapsed="false">
      <c r="K23" s="30" t="s">
        <v>197</v>
      </c>
      <c r="M23" s="31" t="n">
        <f aca="false">AVERAGE('Studii de Caz'!J3:J14)</f>
        <v>242333.333333333</v>
      </c>
    </row>
    <row r="24" customFormat="false" ht="15" hidden="false" customHeight="false" outlineLevel="0" collapsed="false">
      <c r="K24" s="30" t="s">
        <v>198</v>
      </c>
      <c r="M24" s="31" t="n">
        <f aca="false">SUM(F5:F6)</f>
        <v>12</v>
      </c>
    </row>
  </sheetData>
  <mergeCells count="1">
    <mergeCell ref="B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2026-03-24T20:16:24Z</dcterms:created>
  <dc:creator>openpyxl</dc:creator>
  <dc:description/>
  <dc:language>en-US</dc:language>
  <cp:lastModifiedBy/>
  <dcterms:modified xsi:type="dcterms:W3CDTF">2026-03-25T04:18:12Z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